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F2" i="1"/>
  <c r="B9" i="1" s="1"/>
  <c r="B10" i="1"/>
  <c r="E2" i="1"/>
  <c r="B7" i="2"/>
  <c r="F3" i="2"/>
  <c r="F4" i="2"/>
  <c r="F5" i="2"/>
  <c r="F2" i="2"/>
  <c r="E3" i="2"/>
  <c r="E4" i="2"/>
  <c r="E5" i="2"/>
  <c r="E2" i="2"/>
  <c r="E7" i="1"/>
  <c r="D7" i="1"/>
  <c r="B7" i="1"/>
  <c r="J3" i="1"/>
  <c r="J4" i="1"/>
  <c r="J5" i="1"/>
  <c r="J6" i="1"/>
  <c r="J2" i="1"/>
  <c r="E3" i="1"/>
  <c r="E4" i="1"/>
  <c r="E5" i="1"/>
  <c r="E6" i="1"/>
  <c r="D2" i="1"/>
  <c r="D3" i="1"/>
  <c r="D4" i="1"/>
  <c r="D5" i="1"/>
  <c r="F5" i="1" s="1"/>
  <c r="D6" i="1"/>
  <c r="F6" i="1" s="1"/>
  <c r="F7" i="1" l="1"/>
  <c r="B11" i="1" s="1"/>
  <c r="F4" i="1"/>
  <c r="F3" i="1"/>
</calcChain>
</file>

<file path=xl/sharedStrings.xml><?xml version="1.0" encoding="utf-8"?>
<sst xmlns="http://schemas.openxmlformats.org/spreadsheetml/2006/main" count="31" uniqueCount="30">
  <si>
    <t>Оклад</t>
  </si>
  <si>
    <t>Премия</t>
  </si>
  <si>
    <t>НДФЛ</t>
  </si>
  <si>
    <t>К выдаче</t>
  </si>
  <si>
    <t>ФИО сотрудника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</si>
  <si>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</si>
  <si>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</si>
  <si>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</si>
  <si>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</si>
  <si>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</si>
  <si>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</si>
  <si>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</si>
  <si>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</si>
  <si>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ИТОГО</t>
  </si>
  <si>
    <t>Средняя зарплата</t>
  </si>
  <si>
    <t>Максимум</t>
  </si>
  <si>
    <t>Минимум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</si>
  <si>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</si>
  <si>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</si>
  <si>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</si>
  <si>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</si>
  <si>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</si>
  <si>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</si>
  <si>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</si>
  <si>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</si>
  <si>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</si>
  <si>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</si>
  <si>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общей ставкой НДС 20%</t>
  </si>
  <si>
    <t>Итог</t>
  </si>
  <si>
    <t>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</si>
</sst>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4" borderId="0" xfId="0" applyFont="1" applyFill="1"/>
    <xf numFmtId="43" fontId="2" fillId="4" borderId="0" xfId="1" applyFont="1" applyFill="1"/>
    <xf numFmtId="43" fontId="3" fillId="0" borderId="0" xfId="1" applyFont="1"/>
    <xf numFmtId="9" fontId="2" fillId="4" borderId="0" xfId="2" applyFont="1" applyFill="1"/>
    <xf numFmtId="9" fontId="3" fillId="0" borderId="0" xfId="2" applyFont="1"/>
    <xf numFmtId="43" fontId="3" fillId="0" borderId="0" xfId="0" applyNumberFormat="1" applyFont="1"/>
    <xf numFmtId="43" fontId="3" fillId="3" borderId="0" xfId="0" applyNumberFormat="1" applyFont="1" applyFill="1"/>
    <xf numFmtId="0" fontId="3" fillId="6" borderId="0" xfId="0" applyFont="1" applyFill="1"/>
    <xf numFmtId="43" fontId="3" fillId="6" borderId="0" xfId="0" applyNumberFormat="1" applyFont="1" applyFill="1"/>
    <xf numFmtId="9" fontId="3" fillId="6" borderId="0" xfId="0" applyNumberFormat="1" applyFont="1" applyFill="1"/>
    <xf numFmtId="0" fontId="3" fillId="5" borderId="0" xfId="0" applyFont="1" applyFill="1"/>
    <xf numFmtId="43" fontId="3" fillId="3" borderId="0" xfId="1" applyFont="1" applyFill="1"/>
    <xf numFmtId="0" fontId="3" fillId="7" borderId="0" xfId="0" applyFont="1" applyFill="1"/>
    <xf numFmtId="43" fontId="3" fillId="7" borderId="0" xfId="1" applyFont="1" applyFill="1"/>
    <xf numFmtId="9" fontId="3" fillId="7" borderId="0" xfId="2" applyFont="1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E2" sqref="E2"/>
    </sheetView>
  </sheetViews>
  <sheetFormatPr defaultRowHeight="14.4" x14ac:dyDescent="0.3"/>
  <cols>
    <col min="1" max="1" width="17.44140625" style="1" bestFit="1" customWidth="1"/>
    <col min="2" max="2" width="12.6640625" style="5" bestFit="1" customWidth="1"/>
    <col min="3" max="3" width="8.88671875" style="7"/>
    <col min="4" max="5" width="11.88671875" style="1" bestFit="1" customWidth="1"/>
    <col min="6" max="6" width="12.88671875" style="1" bestFit="1" customWidth="1"/>
    <col min="7" max="7" width="8.88671875" style="1"/>
    <col min="8" max="8" width="12.44140625" style="1" bestFit="1" customWidth="1"/>
    <col min="9" max="9" width="13.109375" style="1" bestFit="1" customWidth="1"/>
    <col min="10" max="10" width="11.88671875" style="1" bestFit="1" customWidth="1"/>
    <col min="11" max="16384" width="8.88671875" style="1"/>
  </cols>
  <sheetData>
    <row r="1" spans="1:10" s="3" customFormat="1" x14ac:dyDescent="0.3">
      <c r="A1" s="3" t="s">
        <v>4</v>
      </c>
      <c r="B1" s="4" t="s">
        <v>0</v>
      </c>
      <c r="C1" s="6" t="s">
        <v>1</v>
      </c>
      <c r="D1" s="3" t="s">
        <v>1</v>
      </c>
      <c r="E1" s="3" t="s">
        <v>2</v>
      </c>
      <c r="F1" s="3" t="s">
        <v>3</v>
      </c>
      <c r="G1" s="3" t="s">
        <v>10</v>
      </c>
      <c r="H1" s="3" t="s">
        <v>11</v>
      </c>
      <c r="I1" s="3" t="s">
        <v>12</v>
      </c>
    </row>
    <row r="2" spans="1:10" x14ac:dyDescent="0.3">
      <c r="A2" s="1" t="s">
        <v>5</v>
      </c>
      <c r="B2" s="5">
        <v>50000</v>
      </c>
      <c r="C2" s="7">
        <v>20</v>
      </c>
      <c r="D2" s="8">
        <f>B2*C2/100</f>
        <v>10000</v>
      </c>
      <c r="E2" s="1">
        <f>(B2+D2)*$H$2</f>
        <v>9000</v>
      </c>
      <c r="F2" s="8">
        <f>B2+D2-E2</f>
        <v>51000</v>
      </c>
      <c r="G2" s="1">
        <v>1</v>
      </c>
      <c r="H2" s="13">
        <v>0.15</v>
      </c>
      <c r="I2" s="13">
        <v>1.5</v>
      </c>
      <c r="J2" s="8">
        <f>B2*$I$2</f>
        <v>75000</v>
      </c>
    </row>
    <row r="3" spans="1:10" x14ac:dyDescent="0.3">
      <c r="A3" s="1" t="s">
        <v>6</v>
      </c>
      <c r="B3" s="5">
        <v>45000</v>
      </c>
      <c r="C3" s="7">
        <v>15</v>
      </c>
      <c r="D3" s="8">
        <f>B3*C3/100</f>
        <v>6750</v>
      </c>
      <c r="E3" s="1">
        <f t="shared" ref="E3:E6" si="0">(B3+D3)*$H$2</f>
        <v>7762.5</v>
      </c>
      <c r="F3" s="8">
        <f t="shared" ref="F3:F6" si="1">B3+D3-E3</f>
        <v>43987.5</v>
      </c>
      <c r="G3" s="1">
        <v>2</v>
      </c>
      <c r="J3" s="8">
        <f t="shared" ref="J3:J6" si="2">B3*$I$2</f>
        <v>67500</v>
      </c>
    </row>
    <row r="4" spans="1:10" x14ac:dyDescent="0.3">
      <c r="A4" s="1" t="s">
        <v>7</v>
      </c>
      <c r="B4" s="5">
        <v>62000</v>
      </c>
      <c r="C4" s="7">
        <v>25</v>
      </c>
      <c r="D4" s="8">
        <f t="shared" ref="D3:D6" si="3">B4*C4/100</f>
        <v>15500</v>
      </c>
      <c r="E4" s="1">
        <f t="shared" si="0"/>
        <v>11625</v>
      </c>
      <c r="F4" s="8">
        <f t="shared" si="1"/>
        <v>65875</v>
      </c>
      <c r="G4" s="1">
        <v>3</v>
      </c>
      <c r="J4" s="8">
        <f t="shared" si="2"/>
        <v>93000</v>
      </c>
    </row>
    <row r="5" spans="1:10" x14ac:dyDescent="0.3">
      <c r="A5" s="1" t="s">
        <v>8</v>
      </c>
      <c r="B5" s="5">
        <v>55000</v>
      </c>
      <c r="C5" s="7">
        <v>10</v>
      </c>
      <c r="D5" s="8">
        <f t="shared" si="3"/>
        <v>5500</v>
      </c>
      <c r="E5" s="1">
        <f t="shared" si="0"/>
        <v>9075</v>
      </c>
      <c r="F5" s="8">
        <f t="shared" si="1"/>
        <v>51425</v>
      </c>
      <c r="G5" s="1">
        <v>4</v>
      </c>
      <c r="J5" s="8">
        <f t="shared" si="2"/>
        <v>82500</v>
      </c>
    </row>
    <row r="6" spans="1:10" x14ac:dyDescent="0.3">
      <c r="A6" s="1" t="s">
        <v>9</v>
      </c>
      <c r="B6" s="5">
        <v>40000</v>
      </c>
      <c r="C6" s="7">
        <v>30</v>
      </c>
      <c r="D6" s="8">
        <f t="shared" si="3"/>
        <v>12000</v>
      </c>
      <c r="E6" s="1">
        <f t="shared" si="0"/>
        <v>7800</v>
      </c>
      <c r="F6" s="8">
        <f t="shared" si="1"/>
        <v>44200</v>
      </c>
      <c r="G6" s="1">
        <v>5</v>
      </c>
      <c r="J6" s="8">
        <f t="shared" si="2"/>
        <v>60000</v>
      </c>
    </row>
    <row r="7" spans="1:10" s="10" customFormat="1" x14ac:dyDescent="0.3">
      <c r="A7" s="10" t="s">
        <v>13</v>
      </c>
      <c r="B7" s="11">
        <f>SUM(B2:B6)</f>
        <v>252000</v>
      </c>
      <c r="C7" s="12"/>
      <c r="D7" s="11">
        <f t="shared" ref="C7:F7" si="4">SUM(D2:D6)</f>
        <v>49750</v>
      </c>
      <c r="E7" s="11">
        <f>SUM(E2:E6)</f>
        <v>45262.5</v>
      </c>
      <c r="F7" s="11">
        <f>SUM(F2:F6)</f>
        <v>256487.5</v>
      </c>
    </row>
    <row r="9" spans="1:10" x14ac:dyDescent="0.3">
      <c r="A9" s="2" t="s">
        <v>14</v>
      </c>
      <c r="B9" s="14">
        <f>AVERAGE(F2:F6)</f>
        <v>51297.5</v>
      </c>
    </row>
    <row r="10" spans="1:10" x14ac:dyDescent="0.3">
      <c r="A10" s="2" t="s">
        <v>15</v>
      </c>
      <c r="B10" s="9">
        <f>MAX(F2:F6)</f>
        <v>65875</v>
      </c>
    </row>
    <row r="11" spans="1:10" x14ac:dyDescent="0.3">
      <c r="A11" s="2" t="s">
        <v>16</v>
      </c>
      <c r="B11" s="14">
        <f>MIN(F2:F7)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9" sqref="I9"/>
    </sheetView>
  </sheetViews>
  <sheetFormatPr defaultRowHeight="14.4" x14ac:dyDescent="0.3"/>
  <cols>
    <col min="1" max="1" width="10.88671875" style="1" bestFit="1" customWidth="1"/>
    <col min="2" max="2" width="12.88671875" style="5" bestFit="1" customWidth="1"/>
    <col min="3" max="3" width="7" style="1" bestFit="1" customWidth="1"/>
    <col min="4" max="4" width="9" style="7" bestFit="1" customWidth="1"/>
    <col min="5" max="5" width="12.88671875" style="1" bestFit="1" customWidth="1"/>
    <col min="6" max="6" width="17.77734375" style="5" bestFit="1" customWidth="1"/>
    <col min="7" max="7" width="22.5546875" style="5" bestFit="1" customWidth="1"/>
    <col min="8" max="8" width="8.88671875" style="1"/>
    <col min="9" max="9" width="4.6640625" style="1" bestFit="1" customWidth="1"/>
    <col min="10" max="16384" width="8.88671875" style="1"/>
  </cols>
  <sheetData>
    <row r="1" spans="1:9" s="15" customFormat="1" x14ac:dyDescent="0.3">
      <c r="A1" s="15" t="s">
        <v>17</v>
      </c>
      <c r="B1" s="16" t="s">
        <v>22</v>
      </c>
      <c r="C1" s="15" t="s">
        <v>23</v>
      </c>
      <c r="D1" s="17" t="s">
        <v>24</v>
      </c>
      <c r="E1" s="15" t="s">
        <v>25</v>
      </c>
      <c r="F1" s="16" t="s">
        <v>26</v>
      </c>
      <c r="G1" s="16" t="s">
        <v>27</v>
      </c>
      <c r="I1" s="15" t="s">
        <v>29</v>
      </c>
    </row>
    <row r="2" spans="1:9" x14ac:dyDescent="0.3">
      <c r="A2" s="1" t="s">
        <v>18</v>
      </c>
      <c r="B2" s="5">
        <v>45000</v>
      </c>
      <c r="C2" s="1">
        <v>5</v>
      </c>
      <c r="D2" s="7">
        <v>5</v>
      </c>
      <c r="E2" s="8">
        <f>B2*C2</f>
        <v>225000</v>
      </c>
      <c r="F2" s="5">
        <f>E2*(1-D2/100)</f>
        <v>213750</v>
      </c>
      <c r="G2" s="5">
        <f>E2*$I$2</f>
        <v>45000</v>
      </c>
      <c r="I2" s="1">
        <v>0.2</v>
      </c>
    </row>
    <row r="3" spans="1:9" x14ac:dyDescent="0.3">
      <c r="A3" s="1" t="s">
        <v>19</v>
      </c>
      <c r="B3" s="5">
        <v>18000</v>
      </c>
      <c r="C3" s="1">
        <v>10</v>
      </c>
      <c r="D3" s="7">
        <v>3</v>
      </c>
      <c r="E3" s="8">
        <f t="shared" ref="E3:E5" si="0">B3*C3</f>
        <v>180000</v>
      </c>
      <c r="F3" s="5">
        <f t="shared" ref="F3:F5" si="1">E3*(1-D3/100)</f>
        <v>174600</v>
      </c>
      <c r="G3" s="5">
        <f t="shared" ref="G3:G5" si="2">E3*$I$2</f>
        <v>36000</v>
      </c>
    </row>
    <row r="4" spans="1:9" x14ac:dyDescent="0.3">
      <c r="A4" s="1" t="s">
        <v>20</v>
      </c>
      <c r="B4" s="5">
        <v>1500</v>
      </c>
      <c r="C4" s="1">
        <v>25</v>
      </c>
      <c r="D4" s="7">
        <v>10</v>
      </c>
      <c r="E4" s="8">
        <f t="shared" si="0"/>
        <v>37500</v>
      </c>
      <c r="F4" s="5">
        <f t="shared" si="1"/>
        <v>33750</v>
      </c>
      <c r="G4" s="5">
        <f t="shared" si="2"/>
        <v>7500</v>
      </c>
    </row>
    <row r="5" spans="1:9" x14ac:dyDescent="0.3">
      <c r="A5" s="1" t="s">
        <v>21</v>
      </c>
      <c r="B5" s="5">
        <v>800</v>
      </c>
      <c r="C5" s="1">
        <v>30</v>
      </c>
      <c r="D5" s="7">
        <v>7</v>
      </c>
      <c r="E5" s="8">
        <f t="shared" si="0"/>
        <v>24000</v>
      </c>
      <c r="F5" s="5">
        <f t="shared" si="1"/>
        <v>22320</v>
      </c>
      <c r="G5" s="5">
        <f t="shared" si="2"/>
        <v>4800</v>
      </c>
    </row>
    <row r="7" spans="1:9" x14ac:dyDescent="0.3">
      <c r="A7" s="15" t="s">
        <v>28</v>
      </c>
      <c r="B7" s="5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2026-09-16T07:41:17Z</dcterms:modified>
</cp:coreProperties>
</file>